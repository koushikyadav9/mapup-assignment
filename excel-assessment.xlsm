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hes\MapUp-Data-Assessment-F\"/>
    </mc:Choice>
  </mc:AlternateContent>
  <xr:revisionPtr revIDLastSave="0" documentId="13_ncr:1_{79E2B835-1796-4D67-A996-5601EC56583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0" l="1"/>
  <c r="C23" i="20"/>
  <c r="C18" i="16"/>
  <c r="C20" i="16"/>
  <c r="C22" i="16"/>
  <c r="C16" i="16"/>
  <c r="B16" i="16"/>
  <c r="C22" i="19"/>
  <c r="B6" i="19"/>
  <c r="C30" i="18"/>
  <c r="D30" i="18"/>
  <c r="E30" i="18"/>
  <c r="F30" i="18"/>
  <c r="B30" i="18"/>
  <c r="C29" i="18"/>
  <c r="D29" i="18"/>
  <c r="E29" i="18"/>
  <c r="F29" i="18"/>
  <c r="F28" i="18"/>
  <c r="E28" i="18"/>
  <c r="D28" i="18"/>
  <c r="C28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<sst xmlns="http://schemas.openxmlformats.org/spreadsheetml/2006/main" count="324" uniqueCount="178">
  <si>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</si>
  <si>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</si>
  <si>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</si>
  <si>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</si>
  <si>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</si>
  <si>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</si>
  <si>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</si>
  <si>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</si>
  <si>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</si>
  <si>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</si>
  <si>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</si>
  <si>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</si>
  <si>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</si>
  <si>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</si>
  <si>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</si>
  <si>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</si>
  <si>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</si>
  <si>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</si>
  <si>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</si>
  <si>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</si>
  <si>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</si>
  <si>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</si>
  <si>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</si>
  <si>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</si>
  <si>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</si>
  <si>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</si>
  <si>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</si>
  <si>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</si>
  <si>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</si>
  <si>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</si>
  <si>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</si>
  <si>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</si>
  <si>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</si>
  <si>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</si>
  <si>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</si>
  <si>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</si>
  <si>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</si>
  <si>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</si>
  <si>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</si>
  <si>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</si>
  <si>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</si>
  <si>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</si>
  <si>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</si>
  <si>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</si>
  <si>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</si>
  <si>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</si>
  <si>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</si>
  <si>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</si>
  <si>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</si>
  <si>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</si>
  <si>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</si>
  <si>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</si>
  <si>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</si>
  <si>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</si>
  <si>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</si>
  <si>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</si>
  <si>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</si>
  <si>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</si>
  <si>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</si>
  <si>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</si>
  <si>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</si>
  <si>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</si>
  <si>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</si>
  <si>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</si>
  <si>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</si>
  <si>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</si>
  <si>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</si>
  <si>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</si>
  <si>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</si>
  <si>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</si>
  <si>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</si>
  <si>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</si>
  <si>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</si>
  <si>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</si>
  <si>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</si>
  <si>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</si>
  <si>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</si>
  <si>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</si>
  <si>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</si>
  <si>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</si>
  <si>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</si>
  <si>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</si>
  <si>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</si>
  <si>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</si>
  <si>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</si>
  <si>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</si>
  <si>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</si>
  <si>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</si>
  <si>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</si>
  <si>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</si>
  <si>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</si>
  <si>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</si>
  <si>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</si>
  <si>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</si>
  <si>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</si>
  <si>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</si>
  <si>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</si>
  <si>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</si>
  <si>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</si>
  <si>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</si>
  <si>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</si>
  <si>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</si>
  <si>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</si>
  <si>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</si>
  <si>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</si>
  <si>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</si>
  <si>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</si>
  <si>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</si>
  <si>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</si>
  <si>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</si>
  <si>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</si>
  <si>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</si>
  <si>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</si>
  <si>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</si>
  <si>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</si>
  <si>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</si>
  <si>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</si>
  <si>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</si>
  <si>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</si>
  <si>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</si>
  <si>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</si>
  <si>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</si>
  <si>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</si>
  <si>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</si>
  <si>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</si>
  <si>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</si>
  <si>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</si>
  <si>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</si>
  <si>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</si>
  <si>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</si>
  <si>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</si>
  <si>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</si>
  <si>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</si>
  <si>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</si>
  <si>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</si>
  <si>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</si>
  <si>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</si>
  <si>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</si>
  <si>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</si>
  <si>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</si>
  <si>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</si>
  <si>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</si>
  <si>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</si>
  <si>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</si>
  <si>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</si>
  <si>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</si>
  <si>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</si>
  <si>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</si>
  <si>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</si>
  <si>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</si>
  <si>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</si>
  <si>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</si>
  <si>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</si>
  <si>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</si>
  <si>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</si>
  <si>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</si>
  <si>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</si>
  <si>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</si>
  <si>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</si>
  <si>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</si>
  <si>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</si>
  <si>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</si>
  <si>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</si>
  <si>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</si>
  <si>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</si>
  <si>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</si>
  <si>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</si>
  <si>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</si>
  <si>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</si>
  <si>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</si>
  <si>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</si>
  <si>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</si>
  <si>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</si>
  <si>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</si>
  <si>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</si>
  <si>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</si>
  <si>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</si>
  <si>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work as intended if entered correctly, but if you encounter problems, here are a few troubleshooting steps and considerations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</si>
</sst>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E1" zoomScaleNormal="100" workbookViewId="0">
      <pane ySplit="1" topLeftCell="A2" activePane="bottomLeft" state="frozen"/>
      <selection pane="bottomLeft" sqref="A1:XFD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34.77734375" style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SUMIFS(H:H, H:H,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9" zoomScaleNormal="100" workbookViewId="0">
      <selection activeCell="I25" sqref="I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VLOOKUP(A6,Dataset!A:G,7,0)</f>
        <v>2.7</v>
      </c>
      <c r="C6" s="12">
        <f>VLOOKUP(A6,Dataset!A:N,14,0)</f>
        <v>7.6</v>
      </c>
      <c r="D6" s="12">
        <f>VLOOKUP(A6,Dataset!A:R,18,0)</f>
        <v>4.2</v>
      </c>
      <c r="E6" s="12">
        <f>VLOOKUP(A6,Dataset!A:T,20,0)</f>
        <v>8.9</v>
      </c>
      <c r="F6" s="8">
        <f>VLOOKUP(A6,Dataset!A:V,22,0)</f>
        <v>4.2</v>
      </c>
    </row>
    <row r="7" spans="1:7" ht="14.4" x14ac:dyDescent="0.3">
      <c r="A7" s="7" t="s">
        <v>4</v>
      </c>
      <c r="B7" s="12">
        <f>VLOOKUP(A7,Dataset!A:G,7,0)</f>
        <v>2.7</v>
      </c>
      <c r="C7" s="12">
        <f>VLOOKUP(A7,Dataset!A:N,14,0)</f>
        <v>7.6</v>
      </c>
      <c r="D7" s="12">
        <f>VLOOKUP(A7,Dataset!A:R,18,0)</f>
        <v>4.2</v>
      </c>
      <c r="E7" s="12">
        <f>VLOOKUP(A7,Dataset!A:T,20,0)</f>
        <v>8.9</v>
      </c>
      <c r="F7" s="8">
        <f>VLOOKUP(A7,Dataset!A:V,22,0)</f>
        <v>4.2</v>
      </c>
    </row>
    <row r="8" spans="1:7" ht="14.4" x14ac:dyDescent="0.3">
      <c r="A8" s="7" t="s">
        <v>7</v>
      </c>
      <c r="B8" s="12">
        <f>VLOOKUP(A8,Dataset!A:G,7,0)</f>
        <v>3.6</v>
      </c>
      <c r="C8" s="12">
        <f>VLOOKUP(A8,Dataset!A:N,14,0)</f>
        <v>11.1</v>
      </c>
      <c r="D8" s="12">
        <f>VLOOKUP(A8,Dataset!A:R,18,0)</f>
        <v>5.8</v>
      </c>
      <c r="E8" s="12">
        <f>VLOOKUP(A8,Dataset!A:T,20,0)</f>
        <v>12.2</v>
      </c>
      <c r="F8" s="8">
        <f>VLOOKUP(A8,Dataset!A:V,22,0)</f>
        <v>5.8</v>
      </c>
    </row>
    <row r="9" spans="1:7" ht="14.4" x14ac:dyDescent="0.3">
      <c r="A9" s="7" t="s">
        <v>8</v>
      </c>
      <c r="B9" s="12">
        <f>VLOOKUP(A9,Dataset!A:G,7,0)</f>
        <v>4.9000000000000004</v>
      </c>
      <c r="C9" s="12">
        <f>VLOOKUP(A9,Dataset!A:N,14,0)</f>
        <v>13.3</v>
      </c>
      <c r="D9" s="12">
        <f>VLOOKUP(A9,Dataset!A:R,18,0)</f>
        <v>8.1</v>
      </c>
      <c r="E9" s="12">
        <f>VLOOKUP(A9,Dataset!A:T,20,0)</f>
        <v>17</v>
      </c>
      <c r="F9" s="8">
        <f>VLOOKUP(A9,Dataset!A:V,22,0)</f>
        <v>8.1</v>
      </c>
    </row>
    <row r="10" spans="1:7" ht="14.4" x14ac:dyDescent="0.3">
      <c r="A10" s="7" t="s">
        <v>11</v>
      </c>
      <c r="B10" s="12">
        <f>VLOOKUP(A10,Dataset!A:G,7,0)</f>
        <v>9.4</v>
      </c>
      <c r="C10" s="12">
        <f>VLOOKUP(A10,Dataset!A:N,14,0)</f>
        <v>28.3</v>
      </c>
      <c r="D10" s="12">
        <f>VLOOKUP(A10,Dataset!A:R,18,0)</f>
        <v>16.100000000000001</v>
      </c>
      <c r="E10" s="12">
        <f>VLOOKUP(A10,Dataset!A:T,20,0)</f>
        <v>32.799999999999997</v>
      </c>
      <c r="F10" s="8">
        <f>VLOOKUP(A10,Dataset!A:V,22,0)</f>
        <v>16.100000000000001</v>
      </c>
    </row>
    <row r="11" spans="1:7" ht="14.4" x14ac:dyDescent="0.3">
      <c r="A11" s="7" t="s">
        <v>12</v>
      </c>
      <c r="B11" s="12">
        <f>VLOOKUP(A11,Dataset!A:G,7,0)</f>
        <v>11.6</v>
      </c>
      <c r="C11" s="12">
        <f>VLOOKUP(A11,Dataset!A:N,14,0)</f>
        <v>35.200000000000003</v>
      </c>
      <c r="D11" s="12">
        <f>VLOOKUP(A11,Dataset!A:R,18,0)</f>
        <v>21.3</v>
      </c>
      <c r="E11" s="12">
        <f>VLOOKUP(A11,Dataset!A:T,20,0)</f>
        <v>43</v>
      </c>
      <c r="F11" s="8">
        <f>VLOOKUP(A11,Dataset!A:V,22,0)</f>
        <v>21.3</v>
      </c>
    </row>
    <row r="12" spans="1:7" ht="14.4" x14ac:dyDescent="0.3">
      <c r="A12" s="7" t="s">
        <v>14</v>
      </c>
      <c r="B12" s="12">
        <f>VLOOKUP(A12,Dataset!A:G,7,0)</f>
        <v>18.399999999999999</v>
      </c>
      <c r="C12" s="12">
        <f>VLOOKUP(A12,Dataset!A:N,14,0)</f>
        <v>55.6</v>
      </c>
      <c r="D12" s="12">
        <f>VLOOKUP(A12,Dataset!A:R,18,0)</f>
        <v>33.799999999999997</v>
      </c>
      <c r="E12" s="12">
        <f>VLOOKUP(A12,Dataset!A:T,20,0)</f>
        <v>67.900000000000006</v>
      </c>
      <c r="F12" s="8">
        <f>VLOOKUP(A12,Dataset!A:V,22,0)</f>
        <v>33.799999999999997</v>
      </c>
    </row>
    <row r="13" spans="1:7" ht="14.4" x14ac:dyDescent="0.3">
      <c r="A13" s="7" t="s">
        <v>15</v>
      </c>
      <c r="B13" s="12">
        <f>VLOOKUP(A13,Dataset!A:G,7,0)</f>
        <v>0</v>
      </c>
      <c r="C13" s="12">
        <f>VLOOKUP(A13,Dataset!A:N,14,0)</f>
        <v>0</v>
      </c>
      <c r="D13" s="12">
        <f>VLOOKUP(A13,Dataset!A:R,18,0)</f>
        <v>0</v>
      </c>
      <c r="E13" s="12">
        <f>VLOOKUP(A13,Dataset!A:T,20,0)</f>
        <v>0</v>
      </c>
      <c r="F13" s="8">
        <f>VLOOKUP(A13,Dataset!A:V,22,0)</f>
        <v>0</v>
      </c>
    </row>
    <row r="14" spans="1:7" ht="14.4" x14ac:dyDescent="0.3">
      <c r="A14" s="7" t="s">
        <v>16</v>
      </c>
      <c r="B14" s="12">
        <f>VLOOKUP(A14,Dataset!A:G,7,0)</f>
        <v>21.9</v>
      </c>
      <c r="C14" s="12">
        <f>VLOOKUP(A14,Dataset!A:N,14,0)</f>
        <v>61.5</v>
      </c>
      <c r="D14" s="12">
        <f>VLOOKUP(A14,Dataset!A:R,18,0)</f>
        <v>40.1</v>
      </c>
      <c r="E14" s="12">
        <f>VLOOKUP(A14,Dataset!A:T,20,0)</f>
        <v>76.599999999999994</v>
      </c>
      <c r="F14" s="8">
        <f>VLOOKUP(A14,Dataset!A:V,22,0)</f>
        <v>40.1</v>
      </c>
    </row>
    <row r="15" spans="1:7" ht="14.4" x14ac:dyDescent="0.3">
      <c r="A15" s="7" t="s">
        <v>18</v>
      </c>
      <c r="B15" s="12">
        <f>VLOOKUP(A15,Dataset!A:G,7,0)</f>
        <v>26.8</v>
      </c>
      <c r="C15" s="12">
        <f>VLOOKUP(A15,Dataset!A:N,14,0)</f>
        <v>79.599999999999994</v>
      </c>
      <c r="D15" s="12">
        <f>VLOOKUP(A15,Dataset!A:R,18,0)</f>
        <v>47.9</v>
      </c>
      <c r="E15" s="12">
        <f>VLOOKUP(A15,Dataset!A:T,20,0)</f>
        <v>96.8</v>
      </c>
      <c r="F15" s="8">
        <f>VLOOKUP(A15,Dataset!A:V,22,0)</f>
        <v>47.9</v>
      </c>
    </row>
    <row r="16" spans="1:7" ht="14.4" x14ac:dyDescent="0.3">
      <c r="A16" s="7" t="s">
        <v>20</v>
      </c>
      <c r="B16" s="12">
        <f>VLOOKUP(A16,Dataset!A:G,7,0)</f>
        <v>28.5</v>
      </c>
      <c r="C16" s="12">
        <f>VLOOKUP(A16,Dataset!A:N,14,0)</f>
        <v>85.4</v>
      </c>
      <c r="D16" s="12">
        <f>VLOOKUP(A16,Dataset!A:R,18,0)</f>
        <v>52.3</v>
      </c>
      <c r="E16" s="12">
        <f>VLOOKUP(A16,Dataset!A:T,20,0)</f>
        <v>106.1</v>
      </c>
      <c r="F16" s="8">
        <f>VLOOKUP(A16,Dataset!A:V,22,0)</f>
        <v>52.3</v>
      </c>
    </row>
    <row r="17" spans="1:6" ht="14.4" x14ac:dyDescent="0.3">
      <c r="A17" s="7" t="s">
        <v>22</v>
      </c>
      <c r="B17" s="12">
        <f>VLOOKUP(A17,Dataset!A:G,7,0)</f>
        <v>30.7</v>
      </c>
      <c r="C17" s="12">
        <f>VLOOKUP(A17,Dataset!A:N,14,0)</f>
        <v>92.1</v>
      </c>
      <c r="D17" s="12">
        <f>VLOOKUP(A17,Dataset!A:R,18,0)</f>
        <v>57</v>
      </c>
      <c r="E17" s="12">
        <f>VLOOKUP(A17,Dataset!A:T,20,0)</f>
        <v>115.1</v>
      </c>
      <c r="F17" s="8">
        <f>VLOOKUP(A17,Dataset!A:V,22,0)</f>
        <v>57</v>
      </c>
    </row>
    <row r="18" spans="1:6" ht="14.4" x14ac:dyDescent="0.3">
      <c r="A18" s="7" t="s">
        <v>23</v>
      </c>
      <c r="B18" s="12">
        <f>VLOOKUP(A18,Dataset!A:G,7,0)</f>
        <v>33.799999999999997</v>
      </c>
      <c r="C18" s="12">
        <f>VLOOKUP(A18,Dataset!A:N,14,0)</f>
        <v>101.3</v>
      </c>
      <c r="D18" s="12">
        <f>VLOOKUP(A18,Dataset!A:R,18,0)</f>
        <v>61.4</v>
      </c>
      <c r="E18" s="12">
        <f>VLOOKUP(A18,Dataset!A:T,20,0)</f>
        <v>124.4</v>
      </c>
      <c r="F18" s="8">
        <f>VLOOKUP(A18,Dataset!A:V,22,0)</f>
        <v>61.4</v>
      </c>
    </row>
    <row r="19" spans="1:6" ht="14.4" x14ac:dyDescent="0.3">
      <c r="A19" s="7" t="s">
        <v>24</v>
      </c>
      <c r="B19" s="12">
        <f>VLOOKUP(A19,Dataset!A:G,7,0)</f>
        <v>34.700000000000003</v>
      </c>
      <c r="C19" s="12">
        <f>VLOOKUP(A19,Dataset!A:N,14,0)</f>
        <v>106.1</v>
      </c>
      <c r="D19" s="12">
        <f>VLOOKUP(A19,Dataset!A:R,18,0)</f>
        <v>63.6</v>
      </c>
      <c r="E19" s="12">
        <f>VLOOKUP(A19,Dataset!A:T,20,0)</f>
        <v>128.6</v>
      </c>
      <c r="F19" s="8">
        <f>VLOOKUP(A19,Dataset!A:V,22,0)</f>
        <v>63.6</v>
      </c>
    </row>
    <row r="20" spans="1:6" ht="14.4" x14ac:dyDescent="0.3">
      <c r="A20" s="7" t="s">
        <v>28</v>
      </c>
      <c r="B20" s="12">
        <f>VLOOKUP(A20,Dataset!A:G,7,0)</f>
        <v>0</v>
      </c>
      <c r="C20" s="12">
        <f>VLOOKUP(A20,Dataset!A:N,14,0)</f>
        <v>0</v>
      </c>
      <c r="D20" s="12">
        <f>VLOOKUP(A20,Dataset!A:R,18,0)</f>
        <v>0</v>
      </c>
      <c r="E20" s="12">
        <f>VLOOKUP(A20,Dataset!A:T,20,0)</f>
        <v>0</v>
      </c>
      <c r="F20" s="8">
        <f>VLOOKUP(A20,Dataset!A:V,22,0)</f>
        <v>0</v>
      </c>
    </row>
    <row r="21" spans="1:6" ht="14.4" x14ac:dyDescent="0.3">
      <c r="A21" s="7" t="s">
        <v>57</v>
      </c>
      <c r="B21" s="12">
        <f>VLOOKUP(A21,Dataset!A:G,7,0)</f>
        <v>41.3</v>
      </c>
      <c r="C21" s="12">
        <f>VLOOKUP(A21,Dataset!A:N,14,0)</f>
        <v>124.4</v>
      </c>
      <c r="D21" s="12">
        <f>VLOOKUP(A21,Dataset!A:R,18,0)</f>
        <v>75</v>
      </c>
      <c r="E21" s="12">
        <f>VLOOKUP(A21,Dataset!A:T,20,0)</f>
        <v>151.5</v>
      </c>
      <c r="F21" s="8">
        <f>VLOOKUP(A21,Dataset!A:V,22,0)</f>
        <v>75</v>
      </c>
    </row>
    <row r="22" spans="1:6" ht="14.4" x14ac:dyDescent="0.3">
      <c r="A22" s="7" t="s">
        <v>58</v>
      </c>
      <c r="B22" s="12">
        <f>VLOOKUP(A22,Dataset!A:G,7,0)</f>
        <v>-1</v>
      </c>
      <c r="C22" s="12">
        <f>VLOOKUP(A22,Dataset!A:N,14,0)</f>
        <v>-1</v>
      </c>
      <c r="D22" s="12">
        <f>VLOOKUP(A22,Dataset!A:R,18,0)</f>
        <v>-1</v>
      </c>
      <c r="E22" s="12">
        <f>VLOOKUP(A22,Dataset!A:T,20,0)</f>
        <v>-1</v>
      </c>
      <c r="F22" s="8">
        <f>VLOOKUP(A22,Dataset!A:V,22,0)</f>
        <v>-1</v>
      </c>
    </row>
    <row r="23" spans="1:6" ht="14.4" x14ac:dyDescent="0.3">
      <c r="A23" s="7" t="s">
        <v>31</v>
      </c>
      <c r="B23" s="12">
        <f>VLOOKUP(A23,Dataset!A:G,7,0)</f>
        <v>45</v>
      </c>
      <c r="C23" s="12">
        <f>VLOOKUP(A23,Dataset!A:N,14,0)</f>
        <v>133.4</v>
      </c>
      <c r="D23" s="12">
        <f>VLOOKUP(A23,Dataset!A:R,18,0)</f>
        <v>79.400000000000006</v>
      </c>
      <c r="E23" s="12">
        <f>VLOOKUP(A23,Dataset!A:T,20,0)</f>
        <v>160.9</v>
      </c>
      <c r="F23" s="8">
        <f>VLOOKUP(A23,Dataset!A:V,22,0)</f>
        <v>79.400000000000006</v>
      </c>
    </row>
    <row r="24" spans="1:6" ht="14.4" x14ac:dyDescent="0.3">
      <c r="A24" s="7" t="s">
        <v>32</v>
      </c>
      <c r="B24" s="12">
        <f>VLOOKUP(A24,Dataset!A:G,7,0)</f>
        <v>-1</v>
      </c>
      <c r="C24" s="12">
        <f>VLOOKUP(A24,Dataset!A:N,14,0)</f>
        <v>-1</v>
      </c>
      <c r="D24" s="12">
        <f>VLOOKUP(A24,Dataset!A:R,18,0)</f>
        <v>-1</v>
      </c>
      <c r="E24" s="12">
        <f>VLOOKUP(A24,Dataset!A:T,20,0)</f>
        <v>-1</v>
      </c>
      <c r="F24" s="8">
        <f>VLOOKUP(A24,Dataset!A:V,22,0)</f>
        <v>-1</v>
      </c>
    </row>
    <row r="25" spans="1:6" ht="14.4" x14ac:dyDescent="0.3">
      <c r="A25" s="7" t="s">
        <v>34</v>
      </c>
      <c r="B25" s="12">
        <f>VLOOKUP(A25,Dataset!A:G,7,0)</f>
        <v>43.3</v>
      </c>
      <c r="C25" s="12">
        <f>VLOOKUP(A25,Dataset!A:N,14,0)</f>
        <v>128.6</v>
      </c>
      <c r="D25" s="12">
        <f>VLOOKUP(A25,Dataset!A:R,18,0)</f>
        <v>79.400000000000006</v>
      </c>
      <c r="E25" s="12">
        <f>VLOOKUP(A25,Dataset!A:T,20,0)</f>
        <v>160.9</v>
      </c>
      <c r="F25" s="8">
        <f>VLOOKUP(A25,Dataset!A:V,22,0)</f>
        <v>79.400000000000006</v>
      </c>
    </row>
    <row r="26" spans="1:6" ht="14.4" x14ac:dyDescent="0.3">
      <c r="A26" s="7" t="s">
        <v>37</v>
      </c>
      <c r="B26" s="12">
        <f>VLOOKUP(A26,Dataset!A:G,7,0)</f>
        <v>49.1</v>
      </c>
      <c r="C26" s="12">
        <f>VLOOKUP(A26,Dataset!A:N,14,0)</f>
        <v>146.80000000000001</v>
      </c>
      <c r="D26" s="12">
        <f>VLOOKUP(A26,Dataset!A:R,18,0)</f>
        <v>90.9</v>
      </c>
      <c r="E26" s="12">
        <f>VLOOKUP(A26,Dataset!A:T,20,0)</f>
        <v>183.5</v>
      </c>
      <c r="F26" s="8">
        <f>VLOOKUP(A26,Dataset!A:V,22,0)</f>
        <v>90.9</v>
      </c>
    </row>
    <row r="27" spans="1:6" ht="14.4" x14ac:dyDescent="0.3">
      <c r="A27" s="7" t="s">
        <v>39</v>
      </c>
      <c r="B27" s="12">
        <f>VLOOKUP(A27,Dataset!A:G,7,0)</f>
        <v>51.8</v>
      </c>
      <c r="C27" s="12">
        <f>VLOOKUP(A27,Dataset!A:N,14,0)</f>
        <v>156.4</v>
      </c>
      <c r="D27" s="12">
        <f>VLOOKUP(A27,Dataset!A:R,18,0)</f>
        <v>93.1</v>
      </c>
      <c r="E27" s="12">
        <f>VLOOKUP(A27,Dataset!A:T,20,0)</f>
        <v>188.1</v>
      </c>
      <c r="F27" s="8">
        <f>VLOOKUP(A27,Dataset!A:V,22,0)</f>
        <v>93.1</v>
      </c>
    </row>
    <row r="28" spans="1:6" ht="14.4" x14ac:dyDescent="0.3">
      <c r="A28" s="19" t="s">
        <v>82</v>
      </c>
      <c r="B28" s="12">
        <f>MIN(B6:B27)</f>
        <v>-1</v>
      </c>
      <c r="C28" s="12">
        <f>MIN(C6:C27)</f>
        <v>-1</v>
      </c>
      <c r="D28" s="12">
        <f>MIN(D6:D27)</f>
        <v>-1</v>
      </c>
      <c r="E28" s="12">
        <f>MIN(E6:E27)</f>
        <v>-1</v>
      </c>
      <c r="F28" s="12">
        <f>MIN(F6:F27)</f>
        <v>-1</v>
      </c>
    </row>
    <row r="29" spans="1:6" ht="14.4" x14ac:dyDescent="0.3">
      <c r="A29" s="19" t="s">
        <v>83</v>
      </c>
      <c r="B29" s="12">
        <f>MAX(B6:B28)</f>
        <v>51.8</v>
      </c>
      <c r="C29" s="12">
        <f t="shared" ref="C29:F29" si="0">MAX(C6:C28)</f>
        <v>156.4</v>
      </c>
      <c r="D29" s="12">
        <f t="shared" si="0"/>
        <v>93.1</v>
      </c>
      <c r="E29" s="12">
        <f t="shared" si="0"/>
        <v>188.1</v>
      </c>
      <c r="F29" s="12">
        <f t="shared" si="0"/>
        <v>93.1</v>
      </c>
    </row>
    <row r="30" spans="1:6" ht="14.4" x14ac:dyDescent="0.3">
      <c r="A30" s="19" t="s">
        <v>84</v>
      </c>
      <c r="B30" s="12">
        <f>AVERAGE((B6:B27))</f>
        <v>20.827272727272728</v>
      </c>
      <c r="C30" s="12">
        <f t="shared" ref="C30:F30" si="1">AVERAGE((C6:C27))</f>
        <v>62.377272727272725</v>
      </c>
      <c r="D30" s="12">
        <f t="shared" si="1"/>
        <v>37.800000000000004</v>
      </c>
      <c r="E30" s="12">
        <f t="shared" si="1"/>
        <v>76.418181818181822</v>
      </c>
      <c r="F30" s="12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5" zoomScaleNormal="100" workbookViewId="0">
      <selection activeCell="C17" sqref="C1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 t="e">
        <f>LEFT([1]Table_A!A2, FIND("-", [1]Table_A!A2)-1)</f>
        <v>#REF!</v>
      </c>
      <c r="C16" s="1" t="e">
        <f>MID([1]Table_A!A2, FIND("-", [1]Table_A!A2)+1, FIND("-", [1]Table_A!A2, FIND("-", [1]Table_A!A2)+1)-FIND("-", [1]Table_A!A2)-1)</f>
        <v>#REF!</v>
      </c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C18" s="1" t="e">
        <f>MID([1]Table_A!A4, FIND("-", [1]Table_A!A4)+1, FIND("-", [1]Table_A!A4, FIND("-", [1]Table_A!A4)+1)-FIND("-", [1]Table_A!A4)-1)</f>
        <v>#REF!</v>
      </c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C20" s="1" t="e">
        <f>MID([1]Table_A!A6, FIND("-", [1]Table_A!A6)+1, FIND("-", [1]Table_A!A6, FIND("-", [1]Table_A!A6)+1)-FIND("-", [1]Table_A!A6)-1)</f>
        <v>#REF!</v>
      </c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C22" s="1" t="e">
        <f>MID([1]Table_A!A8, FIND("-", [1]Table_A!A8)+1, FIND("-", [1]Table_A!A8, FIND("-", [1]Table_A!A8)+1)-FIND("-", [1]Table_A!A8)-1)</f>
        <v>#REF!</v>
      </c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45.3320312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>
        <f>SUM(C12:C21)</f>
        <v>600</v>
      </c>
    </row>
    <row r="7" spans="1:3" ht="14.4" x14ac:dyDescent="0.3">
      <c r="A7" s="3" t="s">
        <v>153</v>
      </c>
      <c r="B7" s="1" t="s">
        <v>177</v>
      </c>
    </row>
    <row r="10" spans="1:3" ht="23.4" x14ac:dyDescent="0.45">
      <c r="A10" s="18" t="s">
        <v>162</v>
      </c>
    </row>
    <row r="11" spans="1:3" ht="14.4" x14ac:dyDescent="0.3">
      <c r="A11" s="31" t="s">
        <v>86</v>
      </c>
      <c r="B11" s="17" t="s">
        <v>87</v>
      </c>
      <c r="C11" s="17" t="s">
        <v>88</v>
      </c>
    </row>
    <row r="12" spans="1:3" ht="14.4" x14ac:dyDescent="0.3">
      <c r="A12" s="31">
        <v>44927</v>
      </c>
      <c r="B12" s="17" t="s">
        <v>59</v>
      </c>
      <c r="C12" s="17">
        <v>200</v>
      </c>
    </row>
    <row r="13" spans="1:3" ht="14.4" x14ac:dyDescent="0.3">
      <c r="A13" s="31">
        <v>44928</v>
      </c>
      <c r="B13" s="17" t="s">
        <v>60</v>
      </c>
      <c r="C13" s="17">
        <v>20</v>
      </c>
    </row>
    <row r="14" spans="1:3" ht="14.4" x14ac:dyDescent="0.3">
      <c r="A14" s="31">
        <v>44929</v>
      </c>
      <c r="B14" s="17" t="s">
        <v>61</v>
      </c>
      <c r="C14" s="17">
        <v>50</v>
      </c>
    </row>
    <row r="15" spans="1:3" ht="14.4" x14ac:dyDescent="0.3">
      <c r="A15" s="31">
        <v>44930</v>
      </c>
      <c r="B15" s="17" t="s">
        <v>62</v>
      </c>
      <c r="C15" s="17">
        <v>20</v>
      </c>
    </row>
    <row r="16" spans="1:3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154</v>
      </c>
      <c r="C17" s="17">
        <v>150</v>
      </c>
    </row>
    <row r="18" spans="1:3" ht="14.4" x14ac:dyDescent="0.3">
      <c r="A18" s="31">
        <v>44933</v>
      </c>
      <c r="B18" s="17" t="s">
        <v>155</v>
      </c>
      <c r="C18" s="17">
        <v>80</v>
      </c>
    </row>
    <row r="19" spans="1:3" ht="14.4" x14ac:dyDescent="0.3">
      <c r="A19" s="31">
        <v>44934</v>
      </c>
      <c r="B19" s="17" t="s">
        <v>156</v>
      </c>
      <c r="C19" s="17">
        <v>20</v>
      </c>
    </row>
    <row r="20" spans="1:3" ht="14.4" x14ac:dyDescent="0.3">
      <c r="A20" s="31">
        <v>44935</v>
      </c>
      <c r="B20" s="17" t="s">
        <v>157</v>
      </c>
      <c r="C20" s="17">
        <v>30</v>
      </c>
    </row>
    <row r="21" spans="1:3" ht="14.4" x14ac:dyDescent="0.3">
      <c r="A21" s="31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5" sqref="B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 t="e">
        <f>INDEX([2]Table_B!$B$2:$I$10, MATCH(A2, [1]Table_A!$A$2:$A$10, 0), MATCH(B2, [2]Table_B!$A$1:$I$1, 0))</f>
        <v>#N/A</v>
      </c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 t="s">
        <v>99</v>
      </c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 t="e">
        <f>INDEX([2]Table_B!$B$2:$I$10, MATCH(A2, [1]Table_A!$A$2:$A$10, 0), MATCH(B2, [2]Table_B!$A$1:$I$1, 0))</f>
        <v>#N/A</v>
      </c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4"/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medak maheshchary</cp:lastModifiedBy>
  <dcterms:created xsi:type="dcterms:W3CDTF">2015-02-10T17:33:11Z</dcterms:created>
  <dcterms:modified xsi:type="dcterms:W3CDTF">2023-12-11T17:43:52Z</dcterms:modified>
</cp:coreProperties>
</file>